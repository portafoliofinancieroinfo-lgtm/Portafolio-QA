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:\Mi unidad\Personal\03 Proyectos\Github_Publico\Portafolio-QA\API\RestfulBooker\RESULTADOS\"/>
    </mc:Choice>
  </mc:AlternateContent>
  <xr:revisionPtr revIDLastSave="0" documentId="13_ncr:1_{865F5AE0-CB25-4ECC-8D39-DD84B32F31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men" sheetId="1" r:id="rId1"/>
    <sheet name="Casos de prueba" sheetId="2" r:id="rId2"/>
    <sheet name="Bu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9" i="1" l="1"/>
  <c r="B18" i="1"/>
  <c r="B17" i="1"/>
  <c r="B16" i="1"/>
  <c r="B12" i="1"/>
  <c r="B11" i="1"/>
  <c r="B10" i="1"/>
  <c r="B13" i="1" s="1"/>
  <c r="B20" i="1" l="1"/>
</calcChain>
</file>

<file path=xl/sharedStrings.xml><?xml version="1.0" encoding="utf-8"?>
<sst xmlns="http://schemas.openxmlformats.org/spreadsheetml/2006/main" count="266" uniqueCount="180">
  <si>
    <t>Casos de prueba — Restful-Booker</t>
  </si>
  <si>
    <t>API</t>
  </si>
  <si>
    <t>https://restful-booker.herokuapp.com</t>
  </si>
  <si>
    <t>Documentación</t>
  </si>
  <si>
    <t>https://restful-booker.herokuapp.com/apidoc/index.html (apiDoc)</t>
  </si>
  <si>
    <t>Fecha de ejecución</t>
  </si>
  <si>
    <t>25 de octubre de 2026</t>
  </si>
  <si>
    <t>Herramientas</t>
  </si>
  <si>
    <t>Python · pytest · requests</t>
  </si>
  <si>
    <t>Autor</t>
  </si>
  <si>
    <t>Brian David Calero Torres — QA Tester</t>
  </si>
  <si>
    <t>Resultado de la ejecución</t>
  </si>
  <si>
    <t>Casos ejecutados</t>
  </si>
  <si>
    <t>Pasan (PASSED)</t>
  </si>
  <si>
    <t>Fallan por bug (FAILED)</t>
  </si>
  <si>
    <t>Porcentaje que pasa</t>
  </si>
  <si>
    <t>Bugs por severidad</t>
  </si>
  <si>
    <t>Crítica</t>
  </si>
  <si>
    <t>Alta</t>
  </si>
  <si>
    <t>Media</t>
  </si>
  <si>
    <t>Baja</t>
  </si>
  <si>
    <t>Total de bugs</t>
  </si>
  <si>
    <t>Estado: PASSED = la API cumple su documentación; FAILED = bug confirmado (ver hoja Bugs). Los conteos son fórmulas sobre las otras hojas.</t>
  </si>
  <si>
    <t>ID</t>
  </si>
  <si>
    <t>Caso de prueba</t>
  </si>
  <si>
    <t>Solicitud</t>
  </si>
  <si>
    <t>Resultado esperado</t>
  </si>
  <si>
    <t>Resultado obtenido</t>
  </si>
  <si>
    <t>Prueba automatizada</t>
  </si>
  <si>
    <t>Estado</t>
  </si>
  <si>
    <t>Bug</t>
  </si>
  <si>
    <t>Severidad</t>
  </si>
  <si>
    <t>RB-TC01</t>
  </si>
  <si>
    <t>Crear una reserva válida y leerla</t>
  </si>
  <si>
    <t>POST /booking y luego GET /booking/{id}</t>
  </si>
  <si>
    <t>200 y se guarda igual</t>
  </si>
  <si>
    <t>Igual</t>
  </si>
  <si>
    <t>test_create_booking_valid_body_get_success_response</t>
  </si>
  <si>
    <t>PASSED</t>
  </si>
  <si>
    <t>RB-TC02</t>
  </si>
  <si>
    <t>Consultar una reserva que no existe</t>
  </si>
  <si>
    <t>GET /booking/999999999</t>
  </si>
  <si>
    <t>404</t>
  </si>
  <si>
    <t>test_get_booking_not_found_get_404_response</t>
  </si>
  <si>
    <t>RB-TC03</t>
  </si>
  <si>
    <t>Borrar sin token</t>
  </si>
  <si>
    <t>DELETE /booking/{id} sin token</t>
  </si>
  <si>
    <t>Rechazado</t>
  </si>
  <si>
    <t>403</t>
  </si>
  <si>
    <t>test_delete_booking_without_token_get_error_response</t>
  </si>
  <si>
    <t>RB-TC04</t>
  </si>
  <si>
    <t>Actualizar (PUT) sin token</t>
  </si>
  <si>
    <t>PUT /booking/{id} sin token</t>
  </si>
  <si>
    <t>Rechazado y sin cambios</t>
  </si>
  <si>
    <t>403, sin cambios</t>
  </si>
  <si>
    <t>test_update_booking_without_token_get_error_response</t>
  </si>
  <si>
    <t>RB-TC05</t>
  </si>
  <si>
    <t>Actualizar (PATCH) con token inventado</t>
  </si>
  <si>
    <t>PATCH /booking/{id} con token inventado (Cookie: token=abc123)</t>
  </si>
  <si>
    <t>test_partial_update_booking_fake_token_get_error_response</t>
  </si>
  <si>
    <t>RB-TC06</t>
  </si>
  <si>
    <t>Filtrar por nombre y apellido</t>
  </si>
  <si>
    <t>GET /booking?firstname=Filtro&amp;lastname=QA…</t>
  </si>
  <si>
    <t>Devuelve la reserva creada</t>
  </si>
  <si>
    <t>La devuelve</t>
  </si>
  <si>
    <t>test_get_booking_ids_filter_by_name_get_created_booking</t>
  </si>
  <si>
    <t>RB-TC07</t>
  </si>
  <si>
    <t>HealthCheck GET /ping</t>
  </si>
  <si>
    <t>GET /ping</t>
  </si>
  <si>
    <t>201 Created</t>
  </si>
  <si>
    <t>201</t>
  </si>
  <si>
    <t>test_ping_get_201_response</t>
  </si>
  <si>
    <t>RB-TC08</t>
  </si>
  <si>
    <t>Crear con Accept: application/xml</t>
  </si>
  <si>
    <t>POST /booking con Accept: application/xml</t>
  </si>
  <si>
    <t>Respuesta en XML</t>
  </si>
  <si>
    <t>XML</t>
  </si>
  <si>
    <t>test_create_booking_accept_xml_get_xml_response</t>
  </si>
  <si>
    <t>RB-TC09</t>
  </si>
  <si>
    <t>Precio con decimales (150.75)</t>
  </si>
  <si>
    <t>POST /booking con "totalprice": 150.75.</t>
  </si>
  <si>
    <t>Se guarda 150.75</t>
  </si>
  <si>
    <t>Se guarda 150</t>
  </si>
  <si>
    <t>test_create_booking_decimal_price_keeps_decimals</t>
  </si>
  <si>
    <t>FAILED</t>
  </si>
  <si>
    <t>RB-01</t>
  </si>
  <si>
    <t>RB-TC10</t>
  </si>
  <si>
    <t>Precio en texto</t>
  </si>
  <si>
    <t>POST /booking con "totalprice": "ciento cincuenta".</t>
  </si>
  <si>
    <t>400</t>
  </si>
  <si>
    <t>200 y precio null</t>
  </si>
  <si>
    <t>test_create_booking_text_price_get_error_response</t>
  </si>
  <si>
    <t>RB-02</t>
  </si>
  <si>
    <t>RB-TC11</t>
  </si>
  <si>
    <t>Precio negativo (-150)</t>
  </si>
  <si>
    <t>POST /booking con "totalprice": -150.</t>
  </si>
  <si>
    <t>200</t>
  </si>
  <si>
    <t>test_create_booking_negative_price_get_error_response</t>
  </si>
  <si>
    <t>RB-03</t>
  </si>
  <si>
    <t>RB-TC12</t>
  </si>
  <si>
    <t>Salida antes de la entrada</t>
  </si>
  <si>
    <t>POST /booking con checkin: 2026-12-10 y checkout: 2026-12-01.</t>
  </si>
  <si>
    <t>test_create_booking_checkout_before_checkin_get_error_response</t>
  </si>
  <si>
    <t>RB-04</t>
  </si>
  <si>
    <t>RB-TC13</t>
  </si>
  <si>
    <t>Faltan campos obligatorios</t>
  </si>
  <si>
    <t>POST /booking solo con {"firstname": "Ana"}.</t>
  </si>
  <si>
    <t>500</t>
  </si>
  <si>
    <t>test_create_booking_missing_fields_get_error_response</t>
  </si>
  <si>
    <t>RB-05</t>
  </si>
  <si>
    <t>RB-TC14</t>
  </si>
  <si>
    <t>Credenciales incorrectas</t>
  </si>
  <si>
    <t>POST /auth con usuario y clave falsos.</t>
  </si>
  <si>
    <t>401</t>
  </si>
  <si>
    <t>test_auth_bad_credentials_get_error_response</t>
  </si>
  <si>
    <t>RB-06</t>
  </si>
  <si>
    <t>RB-TC15</t>
  </si>
  <si>
    <t>Fechas que no son fechas</t>
  </si>
  <si>
    <t>POST /booking con checkin: "no-es-fecha" y checkout: "2026-13-45".</t>
  </si>
  <si>
    <t>200 con 0NaN-aN-aN</t>
  </si>
  <si>
    <t>test_create_booking_invalid_dates_get_error_response</t>
  </si>
  <si>
    <t>RB-07</t>
  </si>
  <si>
    <t>RB-TC16</t>
  </si>
  <si>
    <t>Depositpaid: "tal vez"</t>
  </si>
  <si>
    <t>POST /booking con "depositpaid": "tal vez".</t>
  </si>
  <si>
    <t>200 y se guarda true</t>
  </si>
  <si>
    <t>test_create_booking_text_depositpaid_get_error_response</t>
  </si>
  <si>
    <t>RB-08</t>
  </si>
  <si>
    <t>RB-TC17</t>
  </si>
  <si>
    <t>Firstname numérico</t>
  </si>
  <si>
    <t>POST /booking con "firstname": 123.</t>
  </si>
  <si>
    <t>test_create_booking_number_firstname_get_error_response</t>
  </si>
  <si>
    <t>RB-09</t>
  </si>
  <si>
    <t>RB-TC18</t>
  </si>
  <si>
    <t>Firstname vacío</t>
  </si>
  <si>
    <t>POST /booking con "firstname": "".</t>
  </si>
  <si>
    <t>test_create_booking_empty_firstname_get_error_response</t>
  </si>
  <si>
    <t>RB-10</t>
  </si>
  <si>
    <t>Título</t>
  </si>
  <si>
    <t>Caso</t>
  </si>
  <si>
    <t>Pasos para reproducir</t>
  </si>
  <si>
    <t>Impacto</t>
  </si>
  <si>
    <t>El precio pierde los decimales</t>
  </si>
  <si>
    <t>La reserva guarda 150.75; la documentación define totalprice como Number.</t>
  </si>
  <si>
    <t>Responde 200 y guarda "totalprice": 150.</t>
  </si>
  <si>
    <t>La API guarda un valor distinto al que recibió, sin avisar. Cualquier sistema que use ese dato trabaja con información equivocada.</t>
  </si>
  <si>
    <t>Un precio en texto deja la reserva sin precio</t>
  </si>
  <si>
    <t>400, el precio debe ser numérico.</t>
  </si>
  <si>
    <t>200 y la reserva queda con "totalprice": null.</t>
  </si>
  <si>
    <t>Quedan reservas con un campo obligatorio vacío.</t>
  </si>
  <si>
    <t>Acepta precios negativos</t>
  </si>
  <si>
    <t>400.</t>
  </si>
  <si>
    <t>200 y la reserva se guarda con -150.</t>
  </si>
  <si>
    <t>Se guardan valores sin sentido que afectan cualquier cálculo que use el precio.</t>
  </si>
  <si>
    <t>La salida puede ser anterior a la entrada</t>
  </si>
  <si>
    <t>200 y la reserva se guarda con fechas imposibles.</t>
  </si>
  <si>
    <t>La estadía da un número de noches negativo.</t>
  </si>
  <si>
    <t>Error 500 cuando faltan campos</t>
  </si>
  <si>
    <t>400 con el detalle de los campos faltantes.</t>
  </si>
  <si>
    <t>500 Internal Server Error.</t>
  </si>
  <si>
    <t>El servidor no valida la entrada; quien integra la API no sabe qué corregir.</t>
  </si>
  <si>
    <t>Credenciales incorrectas responden 200</t>
  </si>
  <si>
    <t>401 Unauthorized. La documentación solo define la respuesta 200 con un token.</t>
  </si>
  <si>
    <t>200 con {"reason": "Bad credentials"}.</t>
  </si>
  <si>
    <t>Un cliente que revisa solo el código de respuesta cree que inició sesión.</t>
  </si>
  <si>
    <t>Acepta fechas que no son fechas</t>
  </si>
  <si>
    <t>400; la documentación define las fechas como Date.</t>
  </si>
  <si>
    <t>200 y las dos fechas se guardan como "0NaN-aN-aN".</t>
  </si>
  <si>
    <t>La reserva queda sin fechas válidas y no se puede saber cuándo llega ni cuándo se va el huésped.</t>
  </si>
  <si>
    <t>Un depósito en texto se guarda como pagado</t>
  </si>
  <si>
    <t>400; la documentación define depositpaid como Boolean.</t>
  </si>
  <si>
    <t>200 y se guarda "depositpaid": true.</t>
  </si>
  <si>
    <t>La reserva queda marcada con el depósito pagado sin que nadie lo haya confirmado: es un dato de dinero.</t>
  </si>
  <si>
    <t>Error 500 con un nombre numérico</t>
  </si>
  <si>
    <t>400; firstname es String.</t>
  </si>
  <si>
    <t>Un error de tipo de dato tumba la petición en lugar de devolver un mensaje útil.</t>
  </si>
  <si>
    <t>Acepta un nombre vacío</t>
  </si>
  <si>
    <t>400; firstname es obligatorio.</t>
  </si>
  <si>
    <t>200 y la reserva se guarda sin nombre.</t>
  </si>
  <si>
    <t>Quedan reservas que no se pueden asociar a un huésped.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</si>
</sst>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b/>
      <sz val="11"/>
      <name val="Arial"/>
    </font>
    <font>
      <sz val="11"/>
      <name val="Arial"/>
    </font>
    <font>
      <b/>
      <sz val="12"/>
      <color rgb="FF1F3864"/>
      <name val="Arial"/>
    </font>
    <font>
      <b/>
      <sz val="11"/>
      <color rgb="FFC00000"/>
      <name val="Arial"/>
    </font>
    <font>
      <b/>
      <sz val="11"/>
      <color rgb="FFE46C0A"/>
      <name val="Arial"/>
    </font>
    <font>
      <b/>
      <sz val="11"/>
      <color rgb="FFBF8F00"/>
      <name val="Arial"/>
    </font>
    <font>
      <b/>
      <sz val="11"/>
      <color rgb="FF2E75B6"/>
      <name val="Arial"/>
    </font>
    <font>
      <i/>
      <sz val="9"/>
      <color rgb="FF595959"/>
      <name val="Arial"/>
    </font>
    <font>
      <b/>
      <sz val="11"/>
      <color rgb="FFFFFFFF"/>
      <name val="Arial"/>
    </font>
    <font>
      <sz val="10"/>
      <name val="Arial"/>
    </font>
    <font>
      <b/>
      <sz val="10"/>
      <color rgb="FF375623"/>
      <name val="Arial"/>
    </font>
    <font>
      <b/>
      <sz val="10"/>
      <color rgb="FFC00000"/>
      <name val="Arial"/>
    </font>
    <font>
      <b/>
      <sz val="10"/>
      <color rgb="FFE46C0A"/>
      <name val="Arial"/>
    </font>
    <font>
      <b/>
      <sz val="10"/>
      <color rgb="FFBF8F00"/>
      <name val="Arial"/>
    </font>
    <font>
      <b/>
      <sz val="10"/>
      <color rgb="FF2E75B6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5" fillId="0" borderId="0" xfId="0" applyFont="1"/>
    <xf numFmtId="0" fontId="2" fillId="0" borderId="0" xfId="0" applyFont="1" applyAlignment="1">
      <alignment horizontal="left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1" xfId="0" applyFont="1" applyFill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top" wrapText="1"/>
    </xf>
    <xf numFmtId="0" fontId="11" fillId="0" borderId="1" xfId="0" applyFont="1" applyBorder="1" applyAlignment="1">
      <alignment vertical="top" wrapText="1"/>
    </xf>
    <xf numFmtId="0" fontId="12" fillId="3" borderId="1" xfId="0" applyFont="1" applyFill="1" applyBorder="1" applyAlignment="1">
      <alignment horizontal="center" vertical="top" wrapText="1"/>
    </xf>
    <xf numFmtId="0" fontId="13" fillId="4" borderId="1" xfId="0" applyFont="1" applyFill="1" applyBorder="1" applyAlignment="1">
      <alignment horizontal="center" vertical="top" wrapText="1"/>
    </xf>
    <xf numFmtId="0" fontId="14" fillId="0" borderId="1" xfId="0" applyFont="1" applyBorder="1" applyAlignment="1">
      <alignment horizontal="center" vertical="top" wrapText="1"/>
    </xf>
    <xf numFmtId="0" fontId="15" fillId="0" borderId="1" xfId="0" applyFont="1" applyBorder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sos" displayName="Casos" ref="A1:I19">
  <autoFilter ref="A1:I19" xr:uid="{00000000-0009-0000-0100-000001000000}"/>
  <tableColumns count="9">
    <tableColumn id="1" xr3:uid="{00000000-0010-0000-0000-000001000000}" name="ID"/>
    <tableColumn id="2" xr3:uid="{00000000-0010-0000-0000-000002000000}" name="Caso de prueba"/>
    <tableColumn id="3" xr3:uid="{00000000-0010-0000-0000-000003000000}" name="Solicitud"/>
    <tableColumn id="4" xr3:uid="{00000000-0010-0000-0000-000004000000}" name="Resultado esperado"/>
    <tableColumn id="5" xr3:uid="{00000000-0010-0000-0000-000005000000}" name="Resultado obtenido"/>
    <tableColumn id="6" xr3:uid="{00000000-0010-0000-0000-000006000000}" name="Prueba automatizada"/>
    <tableColumn id="7" xr3:uid="{00000000-0010-0000-0000-000007000000}" name="Estado"/>
    <tableColumn id="8" xr3:uid="{00000000-0010-0000-0000-000008000000}" name="Bug"/>
    <tableColumn id="9" xr3:uid="{00000000-0010-0000-0000-000009000000}" name="Severidad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ugs" displayName="Bugs" ref="A1:H11">
  <autoFilter ref="A1:H11" xr:uid="{00000000-0009-0000-0100-000002000000}"/>
  <tableColumns count="8">
    <tableColumn id="1" xr3:uid="{00000000-0010-0000-0100-000001000000}" name="ID"/>
    <tableColumn id="2" xr3:uid="{00000000-0010-0000-0100-000002000000}" name="Título"/>
    <tableColumn id="3" xr3:uid="{00000000-0010-0000-0100-000003000000}" name="Caso"/>
    <tableColumn id="4" xr3:uid="{00000000-0010-0000-0100-000004000000}" name="Severidad"/>
    <tableColumn id="5" xr3:uid="{00000000-0010-0000-0100-000005000000}" name="Pasos para reproducir"/>
    <tableColumn id="6" xr3:uid="{00000000-0010-0000-0100-000006000000}" name="Resultado esperado"/>
    <tableColumn id="7" xr3:uid="{00000000-0010-0000-0100-000007000000}" name="Resultado obtenido"/>
    <tableColumn id="8" xr3:uid="{00000000-0010-0000-0100-000008000000}" name="Impacto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/>
  </sheetViews>
  <sheetFormatPr baseColWidth="10" defaultColWidth="9.140625" defaultRowHeight="15" x14ac:dyDescent="0.25"/>
  <cols>
    <col min="1" max="1" width="26" customWidth="1"/>
    <col min="2" max="2" width="90" customWidth="1"/>
  </cols>
  <sheetData>
    <row r="1" spans="1:2" ht="18" x14ac:dyDescent="0.25">
      <c r="A1" s="1" t="s">
        <v>0</v>
      </c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5" spans="1:2" x14ac:dyDescent="0.25">
      <c r="A5" s="2" t="s">
        <v>5</v>
      </c>
      <c r="B5" s="3" t="s">
        <v>6</v>
      </c>
    </row>
    <row r="6" spans="1:2" x14ac:dyDescent="0.25">
      <c r="A6" s="2" t="s">
        <v>7</v>
      </c>
      <c r="B6" s="3" t="s">
        <v>8</v>
      </c>
    </row>
    <row r="7" spans="1:2" x14ac:dyDescent="0.25">
      <c r="A7" s="2" t="s">
        <v>9</v>
      </c>
      <c r="B7" s="3" t="s">
        <v>10</v>
      </c>
    </row>
    <row r="9" spans="1:2" ht="15.75" x14ac:dyDescent="0.25">
      <c r="A9" s="4" t="s">
        <v>11</v>
      </c>
    </row>
    <row r="10" spans="1:2" x14ac:dyDescent="0.25">
      <c r="A10" s="3" t="s">
        <v>12</v>
      </c>
      <c r="B10" s="5">
        <f>COUNTA('Casos de prueba'!A2:A19)</f>
        <v>18</v>
      </c>
    </row>
    <row r="11" spans="1:2" x14ac:dyDescent="0.25">
      <c r="A11" s="3" t="s">
        <v>13</v>
      </c>
      <c r="B11" s="5">
        <f>COUNTIF('Casos de prueba'!G2:G19,"PASSED")</f>
        <v>8</v>
      </c>
    </row>
    <row r="12" spans="1:2" x14ac:dyDescent="0.25">
      <c r="A12" s="3" t="s">
        <v>14</v>
      </c>
      <c r="B12" s="5">
        <f>COUNTIF('Casos de prueba'!G2:G19,"FAILED")</f>
        <v>10</v>
      </c>
    </row>
    <row r="13" spans="1:2" x14ac:dyDescent="0.25">
      <c r="A13" s="3" t="s">
        <v>15</v>
      </c>
      <c r="B13" s="6">
        <f>IF(B10=0,0,B11/B10)</f>
        <v>0.44444444444444442</v>
      </c>
    </row>
    <row r="15" spans="1:2" ht="15.75" x14ac:dyDescent="0.25">
      <c r="A15" s="4" t="s">
        <v>16</v>
      </c>
    </row>
    <row r="16" spans="1:2" x14ac:dyDescent="0.25">
      <c r="A16" s="7" t="s">
        <v>17</v>
      </c>
      <c r="B16" s="8">
        <f>COUNTIF(Bugs!D2:D11,"Crítica*")</f>
        <v>0</v>
      </c>
    </row>
    <row r="17" spans="1:2" x14ac:dyDescent="0.25">
      <c r="A17" s="9" t="s">
        <v>18</v>
      </c>
      <c r="B17" s="8">
        <f>COUNTIF(Bugs!D2:D11,"Alta*")</f>
        <v>4</v>
      </c>
    </row>
    <row r="18" spans="1:2" x14ac:dyDescent="0.25">
      <c r="A18" s="10" t="s">
        <v>19</v>
      </c>
      <c r="B18" s="8">
        <f>COUNTIF(Bugs!D2:D11,"Media*")</f>
        <v>4</v>
      </c>
    </row>
    <row r="19" spans="1:2" x14ac:dyDescent="0.25">
      <c r="A19" s="11" t="s">
        <v>20</v>
      </c>
      <c r="B19" s="8">
        <f>COUNTIF(Bugs!D2:D11,"Baja*")</f>
        <v>2</v>
      </c>
    </row>
    <row r="20" spans="1:2" x14ac:dyDescent="0.25">
      <c r="A20" s="2" t="s">
        <v>21</v>
      </c>
      <c r="B20" s="8">
        <f>SUM(B16:B19)</f>
        <v>10</v>
      </c>
    </row>
    <row r="22" spans="1:2" x14ac:dyDescent="0.25">
      <c r="A22" s="12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19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1" customWidth="1"/>
    <col min="2" max="2" width="36" customWidth="1"/>
    <col min="3" max="3" width="44" customWidth="1"/>
    <col min="4" max="5" width="30" customWidth="1"/>
    <col min="6" max="6" width="40" customWidth="1"/>
    <col min="7" max="7" width="11" customWidth="1"/>
    <col min="8" max="8" width="9" customWidth="1"/>
    <col min="9" max="9" width="14" customWidth="1"/>
  </cols>
  <sheetData>
    <row r="1" spans="1:9" x14ac:dyDescent="0.25">
      <c r="A1" s="13" t="s">
        <v>23</v>
      </c>
      <c r="B1" s="13" t="s">
        <v>24</v>
      </c>
      <c r="C1" s="13" t="s">
        <v>25</v>
      </c>
      <c r="D1" s="13" t="s">
        <v>26</v>
      </c>
      <c r="E1" s="13" t="s">
        <v>27</v>
      </c>
      <c r="F1" s="13" t="s">
        <v>28</v>
      </c>
      <c r="G1" s="13" t="s">
        <v>29</v>
      </c>
      <c r="H1" s="13" t="s">
        <v>30</v>
      </c>
      <c r="I1" s="13" t="s">
        <v>31</v>
      </c>
    </row>
    <row r="2" spans="1:9" ht="25.5" x14ac:dyDescent="0.25">
      <c r="A2" s="14" t="s">
        <v>32</v>
      </c>
      <c r="B2" s="15" t="s">
        <v>33</v>
      </c>
      <c r="C2" s="15" t="s">
        <v>34</v>
      </c>
      <c r="D2" s="15" t="s">
        <v>35</v>
      </c>
      <c r="E2" s="15" t="s">
        <v>36</v>
      </c>
      <c r="F2" s="15" t="s">
        <v>37</v>
      </c>
      <c r="G2" s="16" t="s">
        <v>38</v>
      </c>
      <c r="H2" s="15"/>
      <c r="I2" s="14"/>
    </row>
    <row r="3" spans="1:9" ht="25.5" x14ac:dyDescent="0.25">
      <c r="A3" s="14" t="s">
        <v>39</v>
      </c>
      <c r="B3" s="15" t="s">
        <v>40</v>
      </c>
      <c r="C3" s="15" t="s">
        <v>41</v>
      </c>
      <c r="D3" s="15" t="s">
        <v>42</v>
      </c>
      <c r="E3" s="15" t="s">
        <v>42</v>
      </c>
      <c r="F3" s="15" t="s">
        <v>43</v>
      </c>
      <c r="G3" s="16" t="s">
        <v>38</v>
      </c>
      <c r="H3" s="15"/>
      <c r="I3" s="14"/>
    </row>
    <row r="4" spans="1:9" ht="25.5" x14ac:dyDescent="0.25">
      <c r="A4" s="14" t="s">
        <v>44</v>
      </c>
      <c r="B4" s="15" t="s">
        <v>45</v>
      </c>
      <c r="C4" s="15" t="s">
        <v>46</v>
      </c>
      <c r="D4" s="15" t="s">
        <v>47</v>
      </c>
      <c r="E4" s="15" t="s">
        <v>48</v>
      </c>
      <c r="F4" s="15" t="s">
        <v>49</v>
      </c>
      <c r="G4" s="16" t="s">
        <v>38</v>
      </c>
      <c r="H4" s="15"/>
      <c r="I4" s="14"/>
    </row>
    <row r="5" spans="1:9" ht="25.5" x14ac:dyDescent="0.25">
      <c r="A5" s="14" t="s">
        <v>50</v>
      </c>
      <c r="B5" s="15" t="s">
        <v>51</v>
      </c>
      <c r="C5" s="15" t="s">
        <v>52</v>
      </c>
      <c r="D5" s="15" t="s">
        <v>53</v>
      </c>
      <c r="E5" s="15" t="s">
        <v>54</v>
      </c>
      <c r="F5" s="15" t="s">
        <v>55</v>
      </c>
      <c r="G5" s="16" t="s">
        <v>38</v>
      </c>
      <c r="H5" s="15"/>
      <c r="I5" s="14"/>
    </row>
    <row r="6" spans="1:9" ht="25.5" x14ac:dyDescent="0.25">
      <c r="A6" s="14" t="s">
        <v>56</v>
      </c>
      <c r="B6" s="15" t="s">
        <v>57</v>
      </c>
      <c r="C6" s="15" t="s">
        <v>58</v>
      </c>
      <c r="D6" s="15" t="s">
        <v>53</v>
      </c>
      <c r="E6" s="15" t="s">
        <v>54</v>
      </c>
      <c r="F6" s="15" t="s">
        <v>59</v>
      </c>
      <c r="G6" s="16" t="s">
        <v>38</v>
      </c>
      <c r="H6" s="15"/>
      <c r="I6" s="14"/>
    </row>
    <row r="7" spans="1:9" ht="25.5" x14ac:dyDescent="0.25">
      <c r="A7" s="14" t="s">
        <v>60</v>
      </c>
      <c r="B7" s="15" t="s">
        <v>61</v>
      </c>
      <c r="C7" s="15" t="s">
        <v>62</v>
      </c>
      <c r="D7" s="15" t="s">
        <v>63</v>
      </c>
      <c r="E7" s="15" t="s">
        <v>64</v>
      </c>
      <c r="F7" s="15" t="s">
        <v>65</v>
      </c>
      <c r="G7" s="16" t="s">
        <v>38</v>
      </c>
      <c r="H7" s="15"/>
      <c r="I7" s="14"/>
    </row>
    <row r="8" spans="1:9" x14ac:dyDescent="0.25">
      <c r="A8" s="14" t="s">
        <v>66</v>
      </c>
      <c r="B8" s="15" t="s">
        <v>67</v>
      </c>
      <c r="C8" s="15" t="s">
        <v>68</v>
      </c>
      <c r="D8" s="15" t="s">
        <v>69</v>
      </c>
      <c r="E8" s="15" t="s">
        <v>70</v>
      </c>
      <c r="F8" s="15" t="s">
        <v>71</v>
      </c>
      <c r="G8" s="16" t="s">
        <v>38</v>
      </c>
      <c r="H8" s="15"/>
      <c r="I8" s="14"/>
    </row>
    <row r="9" spans="1:9" ht="25.5" x14ac:dyDescent="0.25">
      <c r="A9" s="14" t="s">
        <v>72</v>
      </c>
      <c r="B9" s="15" t="s">
        <v>73</v>
      </c>
      <c r="C9" s="15" t="s">
        <v>74</v>
      </c>
      <c r="D9" s="15" t="s">
        <v>75</v>
      </c>
      <c r="E9" s="15" t="s">
        <v>76</v>
      </c>
      <c r="F9" s="15" t="s">
        <v>77</v>
      </c>
      <c r="G9" s="16" t="s">
        <v>38</v>
      </c>
      <c r="H9" s="15"/>
      <c r="I9" s="14"/>
    </row>
    <row r="10" spans="1:9" ht="25.5" x14ac:dyDescent="0.25">
      <c r="A10" s="14" t="s">
        <v>78</v>
      </c>
      <c r="B10" s="15" t="s">
        <v>79</v>
      </c>
      <c r="C10" s="15" t="s">
        <v>80</v>
      </c>
      <c r="D10" s="15" t="s">
        <v>81</v>
      </c>
      <c r="E10" s="15" t="s">
        <v>82</v>
      </c>
      <c r="F10" s="15" t="s">
        <v>83</v>
      </c>
      <c r="G10" s="17" t="s">
        <v>84</v>
      </c>
      <c r="H10" s="15" t="s">
        <v>85</v>
      </c>
      <c r="I10" s="18" t="s">
        <v>18</v>
      </c>
    </row>
    <row r="11" spans="1:9" ht="25.5" x14ac:dyDescent="0.25">
      <c r="A11" s="14" t="s">
        <v>86</v>
      </c>
      <c r="B11" s="15" t="s">
        <v>87</v>
      </c>
      <c r="C11" s="15" t="s">
        <v>88</v>
      </c>
      <c r="D11" s="15" t="s">
        <v>89</v>
      </c>
      <c r="E11" s="15" t="s">
        <v>90</v>
      </c>
      <c r="F11" s="15" t="s">
        <v>91</v>
      </c>
      <c r="G11" s="17" t="s">
        <v>84</v>
      </c>
      <c r="H11" s="15" t="s">
        <v>92</v>
      </c>
      <c r="I11" s="18" t="s">
        <v>18</v>
      </c>
    </row>
    <row r="12" spans="1:9" ht="25.5" x14ac:dyDescent="0.25">
      <c r="A12" s="14" t="s">
        <v>93</v>
      </c>
      <c r="B12" s="15" t="s">
        <v>94</v>
      </c>
      <c r="C12" s="15" t="s">
        <v>95</v>
      </c>
      <c r="D12" s="15" t="s">
        <v>89</v>
      </c>
      <c r="E12" s="15" t="s">
        <v>96</v>
      </c>
      <c r="F12" s="15" t="s">
        <v>97</v>
      </c>
      <c r="G12" s="17" t="s">
        <v>84</v>
      </c>
      <c r="H12" s="15" t="s">
        <v>98</v>
      </c>
      <c r="I12" s="19" t="s">
        <v>19</v>
      </c>
    </row>
    <row r="13" spans="1:9" ht="25.5" x14ac:dyDescent="0.25">
      <c r="A13" s="14" t="s">
        <v>99</v>
      </c>
      <c r="B13" s="15" t="s">
        <v>100</v>
      </c>
      <c r="C13" s="15" t="s">
        <v>101</v>
      </c>
      <c r="D13" s="15" t="s">
        <v>89</v>
      </c>
      <c r="E13" s="15" t="s">
        <v>96</v>
      </c>
      <c r="F13" s="15" t="s">
        <v>102</v>
      </c>
      <c r="G13" s="17" t="s">
        <v>84</v>
      </c>
      <c r="H13" s="15" t="s">
        <v>103</v>
      </c>
      <c r="I13" s="19" t="s">
        <v>19</v>
      </c>
    </row>
    <row r="14" spans="1:9" ht="25.5" x14ac:dyDescent="0.25">
      <c r="A14" s="14" t="s">
        <v>104</v>
      </c>
      <c r="B14" s="15" t="s">
        <v>105</v>
      </c>
      <c r="C14" s="15" t="s">
        <v>106</v>
      </c>
      <c r="D14" s="15" t="s">
        <v>89</v>
      </c>
      <c r="E14" s="15" t="s">
        <v>107</v>
      </c>
      <c r="F14" s="15" t="s">
        <v>108</v>
      </c>
      <c r="G14" s="17" t="s">
        <v>84</v>
      </c>
      <c r="H14" s="15" t="s">
        <v>109</v>
      </c>
      <c r="I14" s="19" t="s">
        <v>19</v>
      </c>
    </row>
    <row r="15" spans="1:9" ht="25.5" x14ac:dyDescent="0.25">
      <c r="A15" s="14" t="s">
        <v>110</v>
      </c>
      <c r="B15" s="15" t="s">
        <v>111</v>
      </c>
      <c r="C15" s="15" t="s">
        <v>112</v>
      </c>
      <c r="D15" s="15" t="s">
        <v>113</v>
      </c>
      <c r="E15" s="15" t="s">
        <v>96</v>
      </c>
      <c r="F15" s="15" t="s">
        <v>114</v>
      </c>
      <c r="G15" s="17" t="s">
        <v>84</v>
      </c>
      <c r="H15" s="15" t="s">
        <v>115</v>
      </c>
      <c r="I15" s="20" t="s">
        <v>20</v>
      </c>
    </row>
    <row r="16" spans="1:9" ht="25.5" x14ac:dyDescent="0.25">
      <c r="A16" s="14" t="s">
        <v>116</v>
      </c>
      <c r="B16" s="15" t="s">
        <v>117</v>
      </c>
      <c r="C16" s="15" t="s">
        <v>118</v>
      </c>
      <c r="D16" s="15" t="s">
        <v>89</v>
      </c>
      <c r="E16" s="15" t="s">
        <v>119</v>
      </c>
      <c r="F16" s="15" t="s">
        <v>120</v>
      </c>
      <c r="G16" s="17" t="s">
        <v>84</v>
      </c>
      <c r="H16" s="15" t="s">
        <v>121</v>
      </c>
      <c r="I16" s="18" t="s">
        <v>18</v>
      </c>
    </row>
    <row r="17" spans="1:9" ht="25.5" x14ac:dyDescent="0.25">
      <c r="A17" s="14" t="s">
        <v>122</v>
      </c>
      <c r="B17" s="15" t="s">
        <v>123</v>
      </c>
      <c r="C17" s="15" t="s">
        <v>124</v>
      </c>
      <c r="D17" s="15" t="s">
        <v>89</v>
      </c>
      <c r="E17" s="15" t="s">
        <v>125</v>
      </c>
      <c r="F17" s="15" t="s">
        <v>126</v>
      </c>
      <c r="G17" s="17" t="s">
        <v>84</v>
      </c>
      <c r="H17" s="15" t="s">
        <v>127</v>
      </c>
      <c r="I17" s="18" t="s">
        <v>18</v>
      </c>
    </row>
    <row r="18" spans="1:9" ht="25.5" x14ac:dyDescent="0.25">
      <c r="A18" s="14" t="s">
        <v>128</v>
      </c>
      <c r="B18" s="15" t="s">
        <v>129</v>
      </c>
      <c r="C18" s="15" t="s">
        <v>130</v>
      </c>
      <c r="D18" s="15" t="s">
        <v>89</v>
      </c>
      <c r="E18" s="15" t="s">
        <v>107</v>
      </c>
      <c r="F18" s="15" t="s">
        <v>131</v>
      </c>
      <c r="G18" s="17" t="s">
        <v>84</v>
      </c>
      <c r="H18" s="15" t="s">
        <v>132</v>
      </c>
      <c r="I18" s="19" t="s">
        <v>19</v>
      </c>
    </row>
    <row r="19" spans="1:9" ht="25.5" x14ac:dyDescent="0.25">
      <c r="A19" s="14" t="s">
        <v>133</v>
      </c>
      <c r="B19" s="15" t="s">
        <v>134</v>
      </c>
      <c r="C19" s="15" t="s">
        <v>135</v>
      </c>
      <c r="D19" s="15" t="s">
        <v>89</v>
      </c>
      <c r="E19" s="15" t="s">
        <v>96</v>
      </c>
      <c r="F19" s="15" t="s">
        <v>136</v>
      </c>
      <c r="G19" s="17" t="s">
        <v>84</v>
      </c>
      <c r="H19" s="15" t="s">
        <v>137</v>
      </c>
      <c r="I19" s="20" t="s">
        <v>20</v>
      </c>
    </row>
  </sheetData>
  <pageMargins left="0.75" right="0.75" top="1" bottom="1" header="0.5" footer="0.5"/>
  <pageSetup paperSize="9" scale="57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1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8" customWidth="1"/>
    <col min="2" max="2" width="34" customWidth="1"/>
    <col min="3" max="3" width="11" customWidth="1"/>
    <col min="4" max="4" width="14" customWidth="1"/>
    <col min="5" max="5" width="44" customWidth="1"/>
    <col min="6" max="7" width="38" customWidth="1"/>
    <col min="8" max="8" width="48" customWidth="1"/>
  </cols>
  <sheetData>
    <row r="1" spans="1:8" x14ac:dyDescent="0.25">
      <c r="A1" s="13" t="s">
        <v>23</v>
      </c>
      <c r="B1" s="13" t="s">
        <v>138</v>
      </c>
      <c r="C1" s="13" t="s">
        <v>139</v>
      </c>
      <c r="D1" s="13" t="s">
        <v>31</v>
      </c>
      <c r="E1" s="13" t="s">
        <v>140</v>
      </c>
      <c r="F1" s="13" t="s">
        <v>26</v>
      </c>
      <c r="G1" s="13" t="s">
        <v>27</v>
      </c>
      <c r="H1" s="13" t="s">
        <v>141</v>
      </c>
    </row>
    <row r="2" spans="1:8" ht="38.25" x14ac:dyDescent="0.25">
      <c r="A2" s="14" t="s">
        <v>85</v>
      </c>
      <c r="B2" s="15" t="s">
        <v>142</v>
      </c>
      <c r="C2" s="15" t="s">
        <v>78</v>
      </c>
      <c r="D2" s="18" t="s">
        <v>18</v>
      </c>
      <c r="E2" s="15" t="s">
        <v>80</v>
      </c>
      <c r="F2" s="15" t="s">
        <v>143</v>
      </c>
      <c r="G2" s="15" t="s">
        <v>144</v>
      </c>
      <c r="H2" s="15" t="s">
        <v>145</v>
      </c>
    </row>
    <row r="3" spans="1:8" ht="25.5" x14ac:dyDescent="0.25">
      <c r="A3" s="14" t="s">
        <v>92</v>
      </c>
      <c r="B3" s="15" t="s">
        <v>146</v>
      </c>
      <c r="C3" s="15" t="s">
        <v>86</v>
      </c>
      <c r="D3" s="18" t="s">
        <v>18</v>
      </c>
      <c r="E3" s="15" t="s">
        <v>88</v>
      </c>
      <c r="F3" s="15" t="s">
        <v>147</v>
      </c>
      <c r="G3" s="15" t="s">
        <v>148</v>
      </c>
      <c r="H3" s="15" t="s">
        <v>149</v>
      </c>
    </row>
    <row r="4" spans="1:8" ht="25.5" x14ac:dyDescent="0.25">
      <c r="A4" s="14" t="s">
        <v>98</v>
      </c>
      <c r="B4" s="15" t="s">
        <v>150</v>
      </c>
      <c r="C4" s="15" t="s">
        <v>93</v>
      </c>
      <c r="D4" s="19" t="s">
        <v>19</v>
      </c>
      <c r="E4" s="15" t="s">
        <v>95</v>
      </c>
      <c r="F4" s="15" t="s">
        <v>151</v>
      </c>
      <c r="G4" s="15" t="s">
        <v>152</v>
      </c>
      <c r="H4" s="15" t="s">
        <v>153</v>
      </c>
    </row>
    <row r="5" spans="1:8" ht="25.5" x14ac:dyDescent="0.25">
      <c r="A5" s="14" t="s">
        <v>103</v>
      </c>
      <c r="B5" s="15" t="s">
        <v>154</v>
      </c>
      <c r="C5" s="15" t="s">
        <v>99</v>
      </c>
      <c r="D5" s="19" t="s">
        <v>19</v>
      </c>
      <c r="E5" s="15" t="s">
        <v>101</v>
      </c>
      <c r="F5" s="15" t="s">
        <v>151</v>
      </c>
      <c r="G5" s="15" t="s">
        <v>155</v>
      </c>
      <c r="H5" s="15" t="s">
        <v>156</v>
      </c>
    </row>
    <row r="6" spans="1:8" ht="25.5" x14ac:dyDescent="0.25">
      <c r="A6" s="14" t="s">
        <v>109</v>
      </c>
      <c r="B6" s="15" t="s">
        <v>157</v>
      </c>
      <c r="C6" s="15" t="s">
        <v>104</v>
      </c>
      <c r="D6" s="19" t="s">
        <v>19</v>
      </c>
      <c r="E6" s="15" t="s">
        <v>106</v>
      </c>
      <c r="F6" s="15" t="s">
        <v>158</v>
      </c>
      <c r="G6" s="15" t="s">
        <v>159</v>
      </c>
      <c r="H6" s="15" t="s">
        <v>160</v>
      </c>
    </row>
    <row r="7" spans="1:8" ht="25.5" x14ac:dyDescent="0.25">
      <c r="A7" s="14" t="s">
        <v>115</v>
      </c>
      <c r="B7" s="15" t="s">
        <v>161</v>
      </c>
      <c r="C7" s="15" t="s">
        <v>110</v>
      </c>
      <c r="D7" s="20" t="s">
        <v>20</v>
      </c>
      <c r="E7" s="15" t="s">
        <v>112</v>
      </c>
      <c r="F7" s="15" t="s">
        <v>162</v>
      </c>
      <c r="G7" s="15" t="s">
        <v>163</v>
      </c>
      <c r="H7" s="15" t="s">
        <v>164</v>
      </c>
    </row>
    <row r="8" spans="1:8" ht="25.5" x14ac:dyDescent="0.25">
      <c r="A8" s="14" t="s">
        <v>121</v>
      </c>
      <c r="B8" s="15" t="s">
        <v>165</v>
      </c>
      <c r="C8" s="15" t="s">
        <v>116</v>
      </c>
      <c r="D8" s="18" t="s">
        <v>18</v>
      </c>
      <c r="E8" s="15" t="s">
        <v>118</v>
      </c>
      <c r="F8" s="15" t="s">
        <v>166</v>
      </c>
      <c r="G8" s="15" t="s">
        <v>167</v>
      </c>
      <c r="H8" s="15" t="s">
        <v>168</v>
      </c>
    </row>
    <row r="9" spans="1:8" ht="25.5" x14ac:dyDescent="0.25">
      <c r="A9" s="14" t="s">
        <v>127</v>
      </c>
      <c r="B9" s="15" t="s">
        <v>169</v>
      </c>
      <c r="C9" s="15" t="s">
        <v>122</v>
      </c>
      <c r="D9" s="18" t="s">
        <v>18</v>
      </c>
      <c r="E9" s="15" t="s">
        <v>124</v>
      </c>
      <c r="F9" s="15" t="s">
        <v>170</v>
      </c>
      <c r="G9" s="15" t="s">
        <v>171</v>
      </c>
      <c r="H9" s="15" t="s">
        <v>172</v>
      </c>
    </row>
    <row r="10" spans="1:8" ht="25.5" x14ac:dyDescent="0.25">
      <c r="A10" s="14" t="s">
        <v>132</v>
      </c>
      <c r="B10" s="15" t="s">
        <v>173</v>
      </c>
      <c r="C10" s="15" t="s">
        <v>128</v>
      </c>
      <c r="D10" s="19" t="s">
        <v>19</v>
      </c>
      <c r="E10" s="15" t="s">
        <v>130</v>
      </c>
      <c r="F10" s="15" t="s">
        <v>174</v>
      </c>
      <c r="G10" s="15" t="s">
        <v>159</v>
      </c>
      <c r="H10" s="15" t="s">
        <v>175</v>
      </c>
    </row>
    <row r="11" spans="1:8" ht="25.5" x14ac:dyDescent="0.25">
      <c r="A11" s="14" t="s">
        <v>137</v>
      </c>
      <c r="B11" s="15" t="s">
        <v>176</v>
      </c>
      <c r="C11" s="15" t="s">
        <v>133</v>
      </c>
      <c r="D11" s="20" t="s">
        <v>20</v>
      </c>
      <c r="E11" s="15" t="s">
        <v>135</v>
      </c>
      <c r="F11" s="15" t="s">
        <v>177</v>
      </c>
      <c r="G11" s="15" t="s">
        <v>178</v>
      </c>
      <c r="H11" s="15" t="s">
        <v>179</v>
      </c>
    </row>
  </sheetData>
  <pageMargins left="0.75" right="0.75" top="1" bottom="1" header="0.5" footer="0.5"/>
  <pageSetup paperSize="9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</vt:lpstr>
      <vt:lpstr>Casos de prueba</vt:lpstr>
      <vt:lpstr>Bugs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Brian Calero</cp:lastModifiedBy>
  <cp:lastPrinted>2026-10-26T00:22:00Z</cp:lastPrinted>
  <dcterms:created xsi:type="dcterms:W3CDTF">2026-10-26T00:21:37Z</dcterms:created>
  <dcterms:modified xsi:type="dcterms:W3CDTF">2026-10-26T00:22:36Z</dcterms:modified>
</cp:coreProperties>
</file>