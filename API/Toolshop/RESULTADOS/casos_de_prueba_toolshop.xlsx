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Mi unidad\Personal\03 Proyectos\Github_Publico\Portafolio-QA\API\Toolshop\RESULTADOS\"/>
    </mc:Choice>
  </mc:AlternateContent>
  <xr:revisionPtr revIDLastSave="0" documentId="13_ncr:1_{AD56F7E3-D5D9-48F6-A162-A0C39023A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Casos de prueba" sheetId="2" r:id="rId2"/>
    <sheet name="Bu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20" i="1" s="1"/>
  <c r="B12" i="1"/>
  <c r="B11" i="1"/>
  <c r="B10" i="1"/>
  <c r="B13" i="1" l="1"/>
</calcChain>
</file>

<file path=xl/sharedStrings.xml><?xml version="1.0" encoding="utf-8"?>
<sst xmlns="http://schemas.openxmlformats.org/spreadsheetml/2006/main" count="229" uniqueCount="166">
  <si>
    <t>Casos de prueba — Toolshop (Practice Software Testing)</t>
  </si>
  <si>
    <t>API</t>
  </si>
  <si>
    <t>https://api-with-bugs.practicesoftwaretesting.com</t>
  </si>
  <si>
    <t>Documentación</t>
  </si>
  <si>
    <t>https://api-with-bugs.practicesoftwaretesting.com/api/documentation (OpenAPI 3.0, v5.0.0)</t>
  </si>
  <si>
    <t>Fecha de ejecución</t>
  </si>
  <si>
    <t>25 de octubre de 2026</t>
  </si>
  <si>
    <t>Herramientas</t>
  </si>
  <si>
    <t>Python · pytest · requests</t>
  </si>
  <si>
    <t>Autor</t>
  </si>
  <si>
    <t>Brian David Calero Torres — QA Tester</t>
  </si>
  <si>
    <t>Resultado de la ejecución</t>
  </si>
  <si>
    <t>Casos ejecutados</t>
  </si>
  <si>
    <t>Pasan (PASSED)</t>
  </si>
  <si>
    <t>Fallan por bug (FAILED)</t>
  </si>
  <si>
    <t>Porcentaje que pasa</t>
  </si>
  <si>
    <t>Bugs por severidad</t>
  </si>
  <si>
    <t>Crítica</t>
  </si>
  <si>
    <t>Alta</t>
  </si>
  <si>
    <t>Media</t>
  </si>
  <si>
    <t>Baja</t>
  </si>
  <si>
    <t>Total de bugs</t>
  </si>
  <si>
    <t>Estado: PASSED = la API cumple su documentación; FAILED = bug confirmado (ver hoja Bugs). Los conteos son fórmulas sobre las otras hojas.</t>
  </si>
  <si>
    <t>ID</t>
  </si>
  <si>
    <t>Caso de prueba</t>
  </si>
  <si>
    <t>Solicitud</t>
  </si>
  <si>
    <t>Resultado esperado</t>
  </si>
  <si>
    <t>Resultado obtenido</t>
  </si>
  <si>
    <t>Prueba automatizada</t>
  </si>
  <si>
    <t>Estado</t>
  </si>
  <si>
    <t>Bug</t>
  </si>
  <si>
    <t>Severidad</t>
  </si>
  <si>
    <t>TS-TC01</t>
  </si>
  <si>
    <t>Ordenar por precio ascendente</t>
  </si>
  <si>
    <t>GET /products?sort=price,asc</t>
  </si>
  <si>
    <t>Precios en orden</t>
  </si>
  <si>
    <t>En orden</t>
  </si>
  <si>
    <t>test_products_sort_price_asc_get_sorted_prices</t>
  </si>
  <si>
    <t>PASSED</t>
  </si>
  <si>
    <t>TS-TC02</t>
  </si>
  <si>
    <t>Ordenar por nombre descendente</t>
  </si>
  <si>
    <t>GET /products?sort=name,desc</t>
  </si>
  <si>
    <t>Nombres en orden</t>
  </si>
  <si>
    <t>test_products_sort_name_desc_get_sorted_names</t>
  </si>
  <si>
    <t>TS-TC03</t>
  </si>
  <si>
    <t>Recorrer todas las páginas</t>
  </si>
  <si>
    <t>GET /products?page=1 … última página</t>
  </si>
  <si>
    <t>Cada producto una vez y el total cuadra</t>
  </si>
  <si>
    <t>Cuadra</t>
  </si>
  <si>
    <t>test_products_pagination_get_every_product_once</t>
  </si>
  <si>
    <t>TS-TC04</t>
  </si>
  <si>
    <t>Filtrar precio entre 10 y 20</t>
  </si>
  <si>
    <t>GET /products?between=price,10,20</t>
  </si>
  <si>
    <t>Solo precios en el rango</t>
  </si>
  <si>
    <t>En el rango</t>
  </si>
  <si>
    <t>test_products_between_price_get_prices_in_range</t>
  </si>
  <si>
    <t>TS-TC05</t>
  </si>
  <si>
    <t>Consultar un producto existente</t>
  </si>
  <si>
    <t>GET /products/{productId}</t>
  </si>
  <si>
    <t>200 con el mismo id</t>
  </si>
  <si>
    <t>200</t>
  </si>
  <si>
    <t>test_get_product_existing_get_success_response</t>
  </si>
  <si>
    <t>TS-TC06</t>
  </si>
  <si>
    <t>Consultar un producto que no existe</t>
  </si>
  <si>
    <t>GET /products/99999999</t>
  </si>
  <si>
    <t>404 "Requested item not found"</t>
  </si>
  <si>
    <t>404</t>
  </si>
  <si>
    <t>test_get_product_not_found_get_404_response</t>
  </si>
  <si>
    <t>TS-TC07</t>
  </si>
  <si>
    <t>Buscar hammer</t>
  </si>
  <si>
    <t>GET /products/search?q=hammer</t>
  </si>
  <si>
    <t>Solo nombres que lo contienen</t>
  </si>
  <si>
    <t>Correcto</t>
  </si>
  <si>
    <t>test_products_search_hammer_get_only_matching_names</t>
  </si>
  <si>
    <t>TS-TC08</t>
  </si>
  <si>
    <t>/users, /users/me, /favorites, /messages, /invoices/search sin token</t>
  </si>
  <si>
    <t>GET /users, /users/me, /favorites, /messages y /invoices/search sin token</t>
  </si>
  <si>
    <t>401</t>
  </si>
  <si>
    <t>test_protected_paths_without_token_get_401_response</t>
  </si>
  <si>
    <t>TS-TC09</t>
  </si>
  <si>
    <t>Login con una cuenta que no existe</t>
  </si>
  <si>
    <t>POST /users/login con una cuenta que no existe</t>
  </si>
  <si>
    <t>test_login_bad_credentials_get_401_response</t>
  </si>
  <si>
    <t>TS-TC10</t>
  </si>
  <si>
    <t>Facturas sin login (referencia)</t>
  </si>
  <si>
    <t>GET /invoices sin token en la versión de referencia</t>
  </si>
  <si>
    <t>test_reference_invoices_without_token_get_401_response</t>
  </si>
  <si>
    <t>TS-TC11</t>
  </si>
  <si>
    <t>Facturas sin login (versión probada)</t>
  </si>
  <si>
    <t>GET /invoices sin token.</t>
  </si>
  <si>
    <t>200 con las facturas</t>
  </si>
  <si>
    <t>test_invoices_without_token_get_401_response</t>
  </si>
  <si>
    <t>FAILED</t>
  </si>
  <si>
    <t>TS-01</t>
  </si>
  <si>
    <t>TS-TC12</t>
  </si>
  <si>
    <t>Ordenar por un campo inexistente</t>
  </si>
  <si>
    <t>GET /products?sort=precio,asc.</t>
  </si>
  <si>
    <t>400/422</t>
  </si>
  <si>
    <t>500</t>
  </si>
  <si>
    <t>test_products_sort_invalid_field_get_no_server_error</t>
  </si>
  <si>
    <t>TS-02</t>
  </si>
  <si>
    <t>TS-TC13</t>
  </si>
  <si>
    <t>Buscar %</t>
  </si>
  <si>
    <t>GET /products/search?q=%.</t>
  </si>
  <si>
    <t>Sin resultados</t>
  </si>
  <si>
    <t>Todo el catálogo (29)</t>
  </si>
  <si>
    <t>test_products_search_percent_get_no_results</t>
  </si>
  <si>
    <t>TS-03</t>
  </si>
  <si>
    <t>TS-TC14</t>
  </si>
  <si>
    <t>Campos de un producto</t>
  </si>
  <si>
    <t>GET /products y revisar los campos de un producto.</t>
  </si>
  <si>
    <t>Solo los del contrato</t>
  </si>
  <si>
    <t>Incluye stock, brand_id…</t>
  </si>
  <si>
    <t>test_product_fields_match_contract</t>
  </si>
  <si>
    <t>TS-04</t>
  </si>
  <si>
    <t>TS-TC15</t>
  </si>
  <si>
    <t>Los 7 reportes de ventas sin login</t>
  </si>
  <si>
    <t>GET sin token a cada ruta de /reports: total-sales-per-country, top10-purchased-products, top10-best-selling-categories, total-sales-of-years, average-sales-per-month, average-sales-per-week y customers-by-country.</t>
  </si>
  <si>
    <t>200 con los datos</t>
  </si>
  <si>
    <t>test_reports_without_token_get_401_response</t>
  </si>
  <si>
    <t>TS-05</t>
  </si>
  <si>
    <t>TS-TC16</t>
  </si>
  <si>
    <t>Buscar sin el parámetro obligatorio q</t>
  </si>
  <si>
    <t>GET /products/search sin el parámetro q.</t>
  </si>
  <si>
    <t>test_products_search_without_query_get_no_results</t>
  </si>
  <si>
    <t>TS-06</t>
  </si>
  <si>
    <t>TS-TC17</t>
  </si>
  <si>
    <t>Documentación de GET /products/{productId}</t>
  </si>
  <si>
    <t>Abrir GET /products/{productId} en la documentación y comparar con la respuesta real.</t>
  </si>
  <si>
    <t>Describe un producto</t>
  </si>
  <si>
    <t>Describe una marca</t>
  </si>
  <si>
    <t>test_spec_get_product_response_is_product_schema</t>
  </si>
  <si>
    <t>TS-07</t>
  </si>
  <si>
    <t>Baja (defecto de documentación)</t>
  </si>
  <si>
    <t>Título</t>
  </si>
  <si>
    <t>Caso</t>
  </si>
  <si>
    <t>Pasos para reproducir</t>
  </si>
  <si>
    <t>Impacto</t>
  </si>
  <si>
    <t>Las facturas se ven sin iniciar sesión</t>
  </si>
  <si>
    <t>401, como responde la versión de referencia. La especificación de la referencia marca esta ruta con security: apiAuth.</t>
  </si>
  <si>
    <t>200 con el listado de facturas, que incluye la dirección de los clientes y los datos de su cuenta de pago.</t>
  </si>
  <si>
    <t>Cualquiera en internet puede leer datos personales de los clientes. Es una falla de control de acceso: GET /invoices/search sí exige login, así que la protección es inconsistente entre rutas del mismo recurso. En la especificación de la versión probada a esta ruta le falta security.</t>
  </si>
  <si>
    <t>Error 500 al ordenar por un campo inexistente</t>
  </si>
  <si>
    <t>400 o 422 indicando el campo inválido. La documentación solo admite name y price.</t>
  </si>
  <si>
    <t>500 "Something went wrong".</t>
  </si>
  <si>
    <t>El parámetro llega sin validar a la base de datos. La versión de referencia tiene el mismo comportamiento.</t>
  </si>
  <si>
    <t>Buscar `%` devuelve todo el catálogo</t>
  </si>
  <si>
    <t>Ningún resultado, porque ningún producto contiene %.</t>
  </si>
  <si>
    <t>Los 29 productos. La versión de referencia devuelve 0.</t>
  </si>
  <si>
    <t>El texto se pasa a la consulta SQL sin escapar los comodines. Hoy solo afecta la búsqueda, pero indica que la entrada del usuario no se limpia antes de llegar a la base de datos.</t>
  </si>
  <si>
    <t>Los productos exponen campos internos</t>
  </si>
  <si>
    <t>Solo los campos del contrato ProductResponse.</t>
  </si>
  <si>
    <t>Además trae stock (cantidad exacta en bodega), brand_id, category_id y product_image_id.</t>
  </si>
  <si>
    <t>Se publica el inventario exacto a la competencia y la respuesta no cumple el contrato que usan los clientes de la API.</t>
  </si>
  <si>
    <t>Los reportes de ventas se ven sin iniciar sesión</t>
  </si>
  <si>
    <t>401. La especificación marca las 7 rutas con security: apiAuth, y la versión de referencia responde 401 en todas.</t>
  </si>
  <si>
    <t>200 en las 7, con ventas por país, productos más vendidos, ingresos por categoría y clientes por país.</t>
  </si>
  <si>
    <t>La información comercial del negocio, que solo debería ver el administrador, queda pública.</t>
  </si>
  <si>
    <t>Buscar sin texto devuelve todo el catálogo</t>
  </si>
  <si>
    <t>La especificación marca q como obligatorio; la versión de referencia responde sin resultados.</t>
  </si>
  <si>
    <t>Los 29 productos.</t>
  </si>
  <si>
    <t>El parámetro obligatorio no se valida, y una búsqueda vacía termina en una consulta de todo el catálogo.</t>
  </si>
  <si>
    <t>La documentación describe mal la respuesta de un producto</t>
  </si>
  <si>
    <t>Que la respuesta 200 use el esquema ProductResponse.</t>
  </si>
  <si>
    <t>La documentación dice BrandResponse (id, name, slug), pero la API devuelve un producto completo con precio, categoría e imagen.</t>
  </si>
  <si>
    <t>Quien genere un cliente a partir de la especificación obtiene un modelo equivocado y pierde los datos del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</si>
</sst>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name val="Arial"/>
    </font>
    <font>
      <sz val="11"/>
      <name val="Arial"/>
    </font>
    <font>
      <b/>
      <sz val="12"/>
      <color rgb="FF1F3864"/>
      <name val="Arial"/>
    </font>
    <font>
      <b/>
      <sz val="11"/>
      <color rgb="FFC00000"/>
      <name val="Arial"/>
    </font>
    <font>
      <b/>
      <sz val="11"/>
      <color rgb="FFE46C0A"/>
      <name val="Arial"/>
    </font>
    <font>
      <b/>
      <sz val="11"/>
      <color rgb="FFBF8F00"/>
      <name val="Arial"/>
    </font>
    <font>
      <b/>
      <sz val="11"/>
      <color rgb="FF2E75B6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0"/>
      <color rgb="FFBF8F00"/>
      <name val="Arial"/>
    </font>
    <font>
      <b/>
      <sz val="10"/>
      <color rgb="FF2E75B6"/>
      <name val="Arial"/>
    </font>
    <font>
      <b/>
      <sz val="10"/>
      <color rgb="FFE46C0A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horizontal="center" vertical="top" wrapText="1"/>
    </xf>
    <xf numFmtId="0" fontId="13" fillId="4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" displayName="Casos" ref="A1:I18">
  <autoFilter ref="A1:I18" xr:uid="{00000000-0009-0000-0100-000001000000}"/>
  <tableColumns count="9">
    <tableColumn id="1" xr3:uid="{00000000-0010-0000-0000-000001000000}" name="ID"/>
    <tableColumn id="2" xr3:uid="{00000000-0010-0000-0000-000002000000}" name="Caso de prueba"/>
    <tableColumn id="3" xr3:uid="{00000000-0010-0000-0000-000003000000}" name="Solicitud"/>
    <tableColumn id="4" xr3:uid="{00000000-0010-0000-0000-000004000000}" name="Resultado esperado"/>
    <tableColumn id="5" xr3:uid="{00000000-0010-0000-0000-000005000000}" name="Resultado obtenido"/>
    <tableColumn id="6" xr3:uid="{00000000-0010-0000-0000-000006000000}" name="Prueba automatizada"/>
    <tableColumn id="7" xr3:uid="{00000000-0010-0000-0000-000007000000}" name="Estado"/>
    <tableColumn id="8" xr3:uid="{00000000-0010-0000-0000-000008000000}" name="Bug"/>
    <tableColumn id="9" xr3:uid="{00000000-0010-0000-0000-000009000000}" name="Severidad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s" displayName="Bugs" ref="A1:H8">
  <autoFilter ref="A1:H8" xr:uid="{00000000-0009-0000-0100-000002000000}"/>
  <tableColumns count="8">
    <tableColumn id="1" xr3:uid="{00000000-0010-0000-0100-000001000000}" name="ID"/>
    <tableColumn id="2" xr3:uid="{00000000-0010-0000-0100-000002000000}" name="Título"/>
    <tableColumn id="3" xr3:uid="{00000000-0010-0000-0100-000003000000}" name="Caso"/>
    <tableColumn id="4" xr3:uid="{00000000-0010-0000-0100-000004000000}" name="Severidad"/>
    <tableColumn id="5" xr3:uid="{00000000-0010-0000-0100-000005000000}" name="Pasos para reproducir"/>
    <tableColumn id="6" xr3:uid="{00000000-0010-0000-0100-000006000000}" name="Resultado esperado"/>
    <tableColumn id="7" xr3:uid="{00000000-0010-0000-0100-000007000000}" name="Resultado obtenido"/>
    <tableColumn id="8" xr3:uid="{00000000-0010-0000-0100-000008000000}" name="Impact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9.140625" defaultRowHeight="15" x14ac:dyDescent="0.25"/>
  <cols>
    <col min="1" max="1" width="26" customWidth="1"/>
    <col min="2" max="2" width="90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2" ht="15.75" x14ac:dyDescent="0.25">
      <c r="A9" s="4" t="s">
        <v>11</v>
      </c>
    </row>
    <row r="10" spans="1:2" x14ac:dyDescent="0.25">
      <c r="A10" s="3" t="s">
        <v>12</v>
      </c>
      <c r="B10" s="5">
        <f>COUNTA('Casos de prueba'!A2:A18)</f>
        <v>17</v>
      </c>
    </row>
    <row r="11" spans="1:2" x14ac:dyDescent="0.25">
      <c r="A11" s="3" t="s">
        <v>13</v>
      </c>
      <c r="B11" s="5">
        <f>COUNTIF('Casos de prueba'!G2:G18,"PASSED")</f>
        <v>10</v>
      </c>
    </row>
    <row r="12" spans="1:2" x14ac:dyDescent="0.25">
      <c r="A12" s="3" t="s">
        <v>14</v>
      </c>
      <c r="B12" s="5">
        <f>COUNTIF('Casos de prueba'!G2:G18,"FAILED")</f>
        <v>7</v>
      </c>
    </row>
    <row r="13" spans="1:2" x14ac:dyDescent="0.25">
      <c r="A13" s="3" t="s">
        <v>15</v>
      </c>
      <c r="B13" s="6">
        <f>IF(B10=0,0,B11/B10)</f>
        <v>0.58823529411764708</v>
      </c>
    </row>
    <row r="15" spans="1:2" ht="15.75" x14ac:dyDescent="0.25">
      <c r="A15" s="4" t="s">
        <v>16</v>
      </c>
    </row>
    <row r="16" spans="1:2" x14ac:dyDescent="0.25">
      <c r="A16" s="7" t="s">
        <v>17</v>
      </c>
      <c r="B16" s="8">
        <f>COUNTIF(Bugs!D2:D8,"Crítica*")</f>
        <v>1</v>
      </c>
    </row>
    <row r="17" spans="1:2" x14ac:dyDescent="0.25">
      <c r="A17" s="9" t="s">
        <v>18</v>
      </c>
      <c r="B17" s="8">
        <f>COUNTIF(Bugs!D2:D8,"Alta*")</f>
        <v>1</v>
      </c>
    </row>
    <row r="18" spans="1:2" x14ac:dyDescent="0.25">
      <c r="A18" s="10" t="s">
        <v>19</v>
      </c>
      <c r="B18" s="8">
        <f>COUNTIF(Bugs!D2:D8,"Media*")</f>
        <v>2</v>
      </c>
    </row>
    <row r="19" spans="1:2" x14ac:dyDescent="0.25">
      <c r="A19" s="11" t="s">
        <v>20</v>
      </c>
      <c r="B19" s="8">
        <f>COUNTIF(Bugs!D2:D8,"Baja*")</f>
        <v>3</v>
      </c>
    </row>
    <row r="20" spans="1:2" x14ac:dyDescent="0.25">
      <c r="A20" s="2" t="s">
        <v>21</v>
      </c>
      <c r="B20" s="8">
        <f>SUM(B16:B19)</f>
        <v>7</v>
      </c>
    </row>
    <row r="22" spans="1:2" x14ac:dyDescent="0.25">
      <c r="A22" s="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36" customWidth="1"/>
    <col min="3" max="3" width="44" customWidth="1"/>
    <col min="4" max="5" width="30" customWidth="1"/>
    <col min="6" max="6" width="40" customWidth="1"/>
    <col min="7" max="7" width="11" customWidth="1"/>
    <col min="8" max="8" width="9" customWidth="1"/>
    <col min="9" max="9" width="14" customWidth="1"/>
  </cols>
  <sheetData>
    <row r="1" spans="1:9" x14ac:dyDescent="0.2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</row>
    <row r="2" spans="1:9" ht="25.5" x14ac:dyDescent="0.25">
      <c r="A2" s="14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5" t="s">
        <v>37</v>
      </c>
      <c r="G2" s="16" t="s">
        <v>38</v>
      </c>
      <c r="H2" s="15"/>
      <c r="I2" s="14"/>
    </row>
    <row r="3" spans="1:9" ht="25.5" x14ac:dyDescent="0.25">
      <c r="A3" s="14" t="s">
        <v>39</v>
      </c>
      <c r="B3" s="15" t="s">
        <v>40</v>
      </c>
      <c r="C3" s="15" t="s">
        <v>41</v>
      </c>
      <c r="D3" s="15" t="s">
        <v>42</v>
      </c>
      <c r="E3" s="15" t="s">
        <v>36</v>
      </c>
      <c r="F3" s="15" t="s">
        <v>43</v>
      </c>
      <c r="G3" s="16" t="s">
        <v>38</v>
      </c>
      <c r="H3" s="15"/>
      <c r="I3" s="14"/>
    </row>
    <row r="4" spans="1:9" ht="25.5" x14ac:dyDescent="0.25">
      <c r="A4" s="14" t="s">
        <v>44</v>
      </c>
      <c r="B4" s="15" t="s">
        <v>45</v>
      </c>
      <c r="C4" s="15" t="s">
        <v>46</v>
      </c>
      <c r="D4" s="15" t="s">
        <v>47</v>
      </c>
      <c r="E4" s="15" t="s">
        <v>48</v>
      </c>
      <c r="F4" s="15" t="s">
        <v>49</v>
      </c>
      <c r="G4" s="16" t="s">
        <v>38</v>
      </c>
      <c r="H4" s="15"/>
      <c r="I4" s="14"/>
    </row>
    <row r="5" spans="1:9" ht="25.5" x14ac:dyDescent="0.25">
      <c r="A5" s="14" t="s">
        <v>50</v>
      </c>
      <c r="B5" s="15" t="s">
        <v>51</v>
      </c>
      <c r="C5" s="15" t="s">
        <v>52</v>
      </c>
      <c r="D5" s="15" t="s">
        <v>53</v>
      </c>
      <c r="E5" s="15" t="s">
        <v>54</v>
      </c>
      <c r="F5" s="15" t="s">
        <v>55</v>
      </c>
      <c r="G5" s="16" t="s">
        <v>38</v>
      </c>
      <c r="H5" s="15"/>
      <c r="I5" s="14"/>
    </row>
    <row r="6" spans="1:9" ht="25.5" x14ac:dyDescent="0.25">
      <c r="A6" s="14" t="s">
        <v>56</v>
      </c>
      <c r="B6" s="15" t="s">
        <v>57</v>
      </c>
      <c r="C6" s="15" t="s">
        <v>58</v>
      </c>
      <c r="D6" s="15" t="s">
        <v>59</v>
      </c>
      <c r="E6" s="15" t="s">
        <v>60</v>
      </c>
      <c r="F6" s="15" t="s">
        <v>61</v>
      </c>
      <c r="G6" s="16" t="s">
        <v>38</v>
      </c>
      <c r="H6" s="15"/>
      <c r="I6" s="14"/>
    </row>
    <row r="7" spans="1:9" ht="25.5" x14ac:dyDescent="0.25">
      <c r="A7" s="14" t="s">
        <v>62</v>
      </c>
      <c r="B7" s="15" t="s">
        <v>63</v>
      </c>
      <c r="C7" s="15" t="s">
        <v>64</v>
      </c>
      <c r="D7" s="15" t="s">
        <v>65</v>
      </c>
      <c r="E7" s="15" t="s">
        <v>66</v>
      </c>
      <c r="F7" s="15" t="s">
        <v>67</v>
      </c>
      <c r="G7" s="16" t="s">
        <v>38</v>
      </c>
      <c r="H7" s="15"/>
      <c r="I7" s="14"/>
    </row>
    <row r="8" spans="1:9" ht="25.5" x14ac:dyDescent="0.25">
      <c r="A8" s="14" t="s">
        <v>68</v>
      </c>
      <c r="B8" s="15" t="s">
        <v>69</v>
      </c>
      <c r="C8" s="15" t="s">
        <v>70</v>
      </c>
      <c r="D8" s="15" t="s">
        <v>71</v>
      </c>
      <c r="E8" s="15" t="s">
        <v>72</v>
      </c>
      <c r="F8" s="15" t="s">
        <v>73</v>
      </c>
      <c r="G8" s="16" t="s">
        <v>38</v>
      </c>
      <c r="H8" s="15"/>
      <c r="I8" s="14"/>
    </row>
    <row r="9" spans="1:9" ht="25.5" x14ac:dyDescent="0.25">
      <c r="A9" s="14" t="s">
        <v>74</v>
      </c>
      <c r="B9" s="15" t="s">
        <v>75</v>
      </c>
      <c r="C9" s="15" t="s">
        <v>76</v>
      </c>
      <c r="D9" s="15" t="s">
        <v>77</v>
      </c>
      <c r="E9" s="15" t="s">
        <v>77</v>
      </c>
      <c r="F9" s="15" t="s">
        <v>78</v>
      </c>
      <c r="G9" s="16" t="s">
        <v>38</v>
      </c>
      <c r="H9" s="15"/>
      <c r="I9" s="14"/>
    </row>
    <row r="10" spans="1:9" x14ac:dyDescent="0.25">
      <c r="A10" s="14" t="s">
        <v>79</v>
      </c>
      <c r="B10" s="15" t="s">
        <v>80</v>
      </c>
      <c r="C10" s="15" t="s">
        <v>81</v>
      </c>
      <c r="D10" s="15" t="s">
        <v>77</v>
      </c>
      <c r="E10" s="15" t="s">
        <v>77</v>
      </c>
      <c r="F10" s="15" t="s">
        <v>82</v>
      </c>
      <c r="G10" s="16" t="s">
        <v>38</v>
      </c>
      <c r="H10" s="15"/>
      <c r="I10" s="14"/>
    </row>
    <row r="11" spans="1:9" ht="25.5" x14ac:dyDescent="0.25">
      <c r="A11" s="14" t="s">
        <v>83</v>
      </c>
      <c r="B11" s="15" t="s">
        <v>84</v>
      </c>
      <c r="C11" s="15" t="s">
        <v>85</v>
      </c>
      <c r="D11" s="15" t="s">
        <v>77</v>
      </c>
      <c r="E11" s="15" t="s">
        <v>77</v>
      </c>
      <c r="F11" s="15" t="s">
        <v>86</v>
      </c>
      <c r="G11" s="16" t="s">
        <v>38</v>
      </c>
      <c r="H11" s="15"/>
      <c r="I11" s="14"/>
    </row>
    <row r="12" spans="1:9" ht="25.5" x14ac:dyDescent="0.25">
      <c r="A12" s="14" t="s">
        <v>87</v>
      </c>
      <c r="B12" s="15" t="s">
        <v>88</v>
      </c>
      <c r="C12" s="15" t="s">
        <v>89</v>
      </c>
      <c r="D12" s="15" t="s">
        <v>77</v>
      </c>
      <c r="E12" s="15" t="s">
        <v>90</v>
      </c>
      <c r="F12" s="15" t="s">
        <v>91</v>
      </c>
      <c r="G12" s="17" t="s">
        <v>92</v>
      </c>
      <c r="H12" s="15" t="s">
        <v>93</v>
      </c>
      <c r="I12" s="18" t="s">
        <v>17</v>
      </c>
    </row>
    <row r="13" spans="1:9" ht="25.5" x14ac:dyDescent="0.25">
      <c r="A13" s="14" t="s">
        <v>94</v>
      </c>
      <c r="B13" s="15" t="s">
        <v>95</v>
      </c>
      <c r="C13" s="15" t="s">
        <v>96</v>
      </c>
      <c r="D13" s="15" t="s">
        <v>97</v>
      </c>
      <c r="E13" s="15" t="s">
        <v>98</v>
      </c>
      <c r="F13" s="15" t="s">
        <v>99</v>
      </c>
      <c r="G13" s="17" t="s">
        <v>92</v>
      </c>
      <c r="H13" s="15" t="s">
        <v>100</v>
      </c>
      <c r="I13" s="19" t="s">
        <v>19</v>
      </c>
    </row>
    <row r="14" spans="1:9" x14ac:dyDescent="0.25">
      <c r="A14" s="14" t="s">
        <v>101</v>
      </c>
      <c r="B14" s="15" t="s">
        <v>102</v>
      </c>
      <c r="C14" s="15" t="s">
        <v>103</v>
      </c>
      <c r="D14" s="15" t="s">
        <v>104</v>
      </c>
      <c r="E14" s="15" t="s">
        <v>105</v>
      </c>
      <c r="F14" s="15" t="s">
        <v>106</v>
      </c>
      <c r="G14" s="17" t="s">
        <v>92</v>
      </c>
      <c r="H14" s="15" t="s">
        <v>107</v>
      </c>
      <c r="I14" s="19" t="s">
        <v>19</v>
      </c>
    </row>
    <row r="15" spans="1:9" ht="25.5" x14ac:dyDescent="0.25">
      <c r="A15" s="14" t="s">
        <v>108</v>
      </c>
      <c r="B15" s="15" t="s">
        <v>109</v>
      </c>
      <c r="C15" s="15" t="s">
        <v>110</v>
      </c>
      <c r="D15" s="15" t="s">
        <v>111</v>
      </c>
      <c r="E15" s="15" t="s">
        <v>112</v>
      </c>
      <c r="F15" s="15" t="s">
        <v>113</v>
      </c>
      <c r="G15" s="17" t="s">
        <v>92</v>
      </c>
      <c r="H15" s="15" t="s">
        <v>114</v>
      </c>
      <c r="I15" s="20" t="s">
        <v>20</v>
      </c>
    </row>
    <row r="16" spans="1:9" ht="63.75" x14ac:dyDescent="0.25">
      <c r="A16" s="14" t="s">
        <v>115</v>
      </c>
      <c r="B16" s="15" t="s">
        <v>116</v>
      </c>
      <c r="C16" s="15" t="s">
        <v>117</v>
      </c>
      <c r="D16" s="15" t="s">
        <v>77</v>
      </c>
      <c r="E16" s="15" t="s">
        <v>118</v>
      </c>
      <c r="F16" s="15" t="s">
        <v>119</v>
      </c>
      <c r="G16" s="17" t="s">
        <v>92</v>
      </c>
      <c r="H16" s="15" t="s">
        <v>120</v>
      </c>
      <c r="I16" s="21" t="s">
        <v>18</v>
      </c>
    </row>
    <row r="17" spans="1:9" ht="25.5" x14ac:dyDescent="0.25">
      <c r="A17" s="14" t="s">
        <v>121</v>
      </c>
      <c r="B17" s="15" t="s">
        <v>122</v>
      </c>
      <c r="C17" s="15" t="s">
        <v>123</v>
      </c>
      <c r="D17" s="15" t="s">
        <v>104</v>
      </c>
      <c r="E17" s="15" t="s">
        <v>105</v>
      </c>
      <c r="F17" s="15" t="s">
        <v>124</v>
      </c>
      <c r="G17" s="17" t="s">
        <v>92</v>
      </c>
      <c r="H17" s="15" t="s">
        <v>125</v>
      </c>
      <c r="I17" s="20" t="s">
        <v>20</v>
      </c>
    </row>
    <row r="18" spans="1:9" ht="51" x14ac:dyDescent="0.25">
      <c r="A18" s="14" t="s">
        <v>126</v>
      </c>
      <c r="B18" s="15" t="s">
        <v>127</v>
      </c>
      <c r="C18" s="15" t="s">
        <v>128</v>
      </c>
      <c r="D18" s="15" t="s">
        <v>129</v>
      </c>
      <c r="E18" s="15" t="s">
        <v>130</v>
      </c>
      <c r="F18" s="15" t="s">
        <v>131</v>
      </c>
      <c r="G18" s="17" t="s">
        <v>92</v>
      </c>
      <c r="H18" s="15" t="s">
        <v>132</v>
      </c>
      <c r="I18" s="20" t="s">
        <v>133</v>
      </c>
    </row>
  </sheetData>
  <pageMargins left="0.75" right="0.75" top="1" bottom="1" header="0.5" footer="0.5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4" customWidth="1"/>
    <col min="3" max="3" width="11" customWidth="1"/>
    <col min="4" max="4" width="14" customWidth="1"/>
    <col min="5" max="5" width="44" customWidth="1"/>
    <col min="6" max="7" width="38" customWidth="1"/>
    <col min="8" max="8" width="48" customWidth="1"/>
  </cols>
  <sheetData>
    <row r="1" spans="1:8" x14ac:dyDescent="0.25">
      <c r="A1" s="13" t="s">
        <v>23</v>
      </c>
      <c r="B1" s="13" t="s">
        <v>134</v>
      </c>
      <c r="C1" s="13" t="s">
        <v>135</v>
      </c>
      <c r="D1" s="13" t="s">
        <v>31</v>
      </c>
      <c r="E1" s="13" t="s">
        <v>136</v>
      </c>
      <c r="F1" s="13" t="s">
        <v>26</v>
      </c>
      <c r="G1" s="13" t="s">
        <v>27</v>
      </c>
      <c r="H1" s="13" t="s">
        <v>137</v>
      </c>
    </row>
    <row r="2" spans="1:8" ht="76.5" x14ac:dyDescent="0.25">
      <c r="A2" s="14" t="s">
        <v>93</v>
      </c>
      <c r="B2" s="15" t="s">
        <v>138</v>
      </c>
      <c r="C2" s="15" t="s">
        <v>87</v>
      </c>
      <c r="D2" s="18" t="s">
        <v>17</v>
      </c>
      <c r="E2" s="15" t="s">
        <v>89</v>
      </c>
      <c r="F2" s="15" t="s">
        <v>139</v>
      </c>
      <c r="G2" s="15" t="s">
        <v>140</v>
      </c>
      <c r="H2" s="15" t="s">
        <v>141</v>
      </c>
    </row>
    <row r="3" spans="1:8" ht="25.5" x14ac:dyDescent="0.25">
      <c r="A3" s="14" t="s">
        <v>100</v>
      </c>
      <c r="B3" s="15" t="s">
        <v>142</v>
      </c>
      <c r="C3" s="15" t="s">
        <v>94</v>
      </c>
      <c r="D3" s="19" t="s">
        <v>19</v>
      </c>
      <c r="E3" s="15" t="s">
        <v>96</v>
      </c>
      <c r="F3" s="15" t="s">
        <v>143</v>
      </c>
      <c r="G3" s="15" t="s">
        <v>144</v>
      </c>
      <c r="H3" s="15" t="s">
        <v>145</v>
      </c>
    </row>
    <row r="4" spans="1:8" ht="51" x14ac:dyDescent="0.25">
      <c r="A4" s="14" t="s">
        <v>107</v>
      </c>
      <c r="B4" s="15" t="s">
        <v>146</v>
      </c>
      <c r="C4" s="15" t="s">
        <v>101</v>
      </c>
      <c r="D4" s="19" t="s">
        <v>19</v>
      </c>
      <c r="E4" s="15" t="s">
        <v>103</v>
      </c>
      <c r="F4" s="15" t="s">
        <v>147</v>
      </c>
      <c r="G4" s="15" t="s">
        <v>148</v>
      </c>
      <c r="H4" s="15" t="s">
        <v>149</v>
      </c>
    </row>
    <row r="5" spans="1:8" ht="38.25" x14ac:dyDescent="0.25">
      <c r="A5" s="14" t="s">
        <v>114</v>
      </c>
      <c r="B5" s="15" t="s">
        <v>150</v>
      </c>
      <c r="C5" s="15" t="s">
        <v>108</v>
      </c>
      <c r="D5" s="20" t="s">
        <v>20</v>
      </c>
      <c r="E5" s="15" t="s">
        <v>110</v>
      </c>
      <c r="F5" s="15" t="s">
        <v>151</v>
      </c>
      <c r="G5" s="15" t="s">
        <v>152</v>
      </c>
      <c r="H5" s="15" t="s">
        <v>153</v>
      </c>
    </row>
    <row r="6" spans="1:8" ht="63.75" x14ac:dyDescent="0.25">
      <c r="A6" s="14" t="s">
        <v>120</v>
      </c>
      <c r="B6" s="15" t="s">
        <v>154</v>
      </c>
      <c r="C6" s="15" t="s">
        <v>115</v>
      </c>
      <c r="D6" s="21" t="s">
        <v>18</v>
      </c>
      <c r="E6" s="15" t="s">
        <v>117</v>
      </c>
      <c r="F6" s="15" t="s">
        <v>155</v>
      </c>
      <c r="G6" s="15" t="s">
        <v>156</v>
      </c>
      <c r="H6" s="15" t="s">
        <v>157</v>
      </c>
    </row>
    <row r="7" spans="1:8" ht="38.25" x14ac:dyDescent="0.25">
      <c r="A7" s="14" t="s">
        <v>125</v>
      </c>
      <c r="B7" s="15" t="s">
        <v>158</v>
      </c>
      <c r="C7" s="15" t="s">
        <v>121</v>
      </c>
      <c r="D7" s="20" t="s">
        <v>20</v>
      </c>
      <c r="E7" s="15" t="s">
        <v>123</v>
      </c>
      <c r="F7" s="15" t="s">
        <v>159</v>
      </c>
      <c r="G7" s="15" t="s">
        <v>160</v>
      </c>
      <c r="H7" s="15" t="s">
        <v>161</v>
      </c>
    </row>
    <row r="8" spans="1:8" ht="51" x14ac:dyDescent="0.25">
      <c r="A8" s="14" t="s">
        <v>132</v>
      </c>
      <c r="B8" s="15" t="s">
        <v>162</v>
      </c>
      <c r="C8" s="15" t="s">
        <v>126</v>
      </c>
      <c r="D8" s="20" t="s">
        <v>133</v>
      </c>
      <c r="E8" s="15" t="s">
        <v>128</v>
      </c>
      <c r="F8" s="15" t="s">
        <v>163</v>
      </c>
      <c r="G8" s="15" t="s">
        <v>164</v>
      </c>
      <c r="H8" s="15" t="s">
        <v>165</v>
      </c>
    </row>
  </sheetData>
  <pageMargins left="0.75" right="0.75" top="1" bottom="1" header="0.5" footer="0.5"/>
  <pageSetup paperSize="9" scale="55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Calero</cp:lastModifiedBy>
  <cp:lastPrinted>2026-10-26T00:22:37Z</cp:lastPrinted>
  <dcterms:created xsi:type="dcterms:W3CDTF">2026-10-26T00:21:38Z</dcterms:created>
  <dcterms:modified xsi:type="dcterms:W3CDTF">2026-10-26T00:22:37Z</dcterms:modified>
</cp:coreProperties>
</file>